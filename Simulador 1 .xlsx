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d45bcd7dc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" sheetId="1" r:id="R2c7cb595ccf2495f"/>
    <x:sheet xmlns:r="http://schemas.openxmlformats.org/officeDocument/2006/relationships" name="Configurações" sheetId="2" r:id="R8ae83cf368914cec"/>
    <x:sheet xmlns:r="http://schemas.openxmlformats.org/officeDocument/2006/relationships" name="Perfis" sheetId="3" r:id="R47a446a5368b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;[Red](R$ #,##0.00);-"/>
    <x:numFmt numFmtId="201" formatCode="0.00%"/>
    <x:numFmt numFmtId="202" formatCode="0%"/>
    <x:numFmt numFmtId="203" formatCode="0 &quot;anos&quot;"/>
  </x:numFmts>
  <x:fonts count="6">
    <x:font>
      <x:sz val="11"/>
      <x:name val="Carlito"/>
    </x:font>
    <x:font>
      <x:sz val="11"/>
      <x:color rgb="FF0000FF"/>
      <x:name val="Carlito"/>
    </x:font>
    <x:font>
      <x:sz val="11"/>
      <x:color rgb="FF000000"/>
      <x:name val="Aptos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b/>
      <x:sz val="11"/>
      <x:color rgb="FF0000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1" fontId="1" fillId="2" borderId="0" xfId="0" applyNumberFormat="1" applyFont="1" applyFill="1" applyBorder="1"/>
    <x:xf numFmtId="201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2" fontId="1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203" fontId="1" fillId="2" borderId="0" xfId="0" applyNumberFormat="1" applyFont="1" applyFill="1" applyBorder="1"/>
    <x:xf numFmtId="203" fontId="1" fillId="2" borderId="1" xfId="0" applyNumberFormat="1" applyFont="1" applyFill="1" applyBorder="1"/>
    <x:xf numFmtId="201" fontId="0" fillId="2" borderId="0" xfId="0" applyNumberFormat="1" applyFont="1" applyFill="1" applyBorder="1"/>
    <x:xf numFmtId="201" fontId="0" fillId="2" borderId="1" xfId="0" applyNumberFormat="1" applyFont="1" applyFill="1" applyBorder="1"/>
    <x:xf numFmtId="0" fontId="2" fillId="0" borderId="0" xfId="0" applyNumberFormat="1" applyFont="1" applyFill="1" applyBorder="1"/>
    <x:xf numFmtId="200" fontId="2" fillId="2" borderId="0" xfId="0" applyNumberFormat="1" applyFont="1" applyFill="1" applyBorder="1"/>
    <x:xf numFmtId="200" fontId="2" fillId="0" borderId="0" xfId="0" applyNumberFormat="1" applyFont="1" applyFill="1" applyBorder="1"/>
    <x:xf numFmtId="203" fontId="2" fillId="2" borderId="0" xfId="0" applyNumberFormat="1" applyFont="1" applyFill="1" applyBorder="1"/>
    <x:xf numFmtId="201" fontId="2" fillId="2" borderId="0" xfId="0" applyNumberFormat="1" applyFont="1" applyFill="1" applyBorder="1"/>
    <x:xf numFmtId="0" fontId="2" fillId="2" borderId="0" xfId="0" applyNumberFormat="1" applyFont="1" applyFill="1" applyBorder="1"/>
    <x:xf numFmtId="202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2" borderId="1" xfId="0" applyNumberFormat="1" applyFont="1" applyFill="1" applyBorder="1"/>
    <x:xf numFmtId="200" fontId="2" fillId="0" borderId="1" xfId="0" applyNumberFormat="1" applyFont="1" applyFill="1" applyBorder="1"/>
    <x:xf numFmtId="203" fontId="2" fillId="2" borderId="1" xfId="0" applyNumberFormat="1" applyFont="1" applyFill="1" applyBorder="1"/>
    <x:xf numFmtId="201" fontId="2" fillId="2" borderId="1" xfId="0" applyNumberFormat="1" applyFont="1" applyFill="1" applyBorder="1"/>
    <x:xf numFmtId="0" fontId="2" fillId="2" borderId="1" xfId="0" applyNumberFormat="1" applyFont="1" applyFill="1" applyBorder="1"/>
    <x:xf numFmtId="202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3" fontId="2" fillId="2" borderId="1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2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3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3" fontId="2" fillId="2" borderId="1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2" fontId="2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1a7caadef4ad7" /><Relationship Type="http://schemas.openxmlformats.org/officeDocument/2006/relationships/theme" Target="/xl/theme/theme1.xml" Id="Rff8c1a439f3a40e2" /><Relationship Type="http://schemas.openxmlformats.org/officeDocument/2006/relationships/sharedStrings" Target="/xl/sharedStrings.xml" Id="Rfda1bef090374d32" /><Relationship Type="http://schemas.openxmlformats.org/officeDocument/2006/relationships/worksheet" Target="/xl/worksheets/sheet1.xml" Id="R2c7cb595ccf2495f" /><Relationship Type="http://schemas.openxmlformats.org/officeDocument/2006/relationships/worksheet" Target="/xl/worksheets/sheet2.xml" Id="R8ae83cf368914cec" /><Relationship Type="http://schemas.openxmlformats.org/officeDocument/2006/relationships/worksheet" Target="/xl/worksheets/sheet3.xml" Id="R47a446a5368b4d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cc97692fa74a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do Patrimônio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Patrimônio (R$)</c:v>
          </c:tx>
          <c:marker>
            <c:symbol val="none"/>
          </c:marker>
          <c:cat>
            <c:strRef>
              <c:f>'Simulador'!$A$13:$A$17</c:f>
              <c:strCache>
                <c:ptCount val="0"/>
              </c:strCache>
            </c:strRef>
          </c:cat>
          <c:val>
            <c:numRef>
              <c:f>'Simulador'!$B$13:$B$17</c:f>
              <c:numCache>
                <c:formatCode>R$ #,##0.00;[Red](R$ 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cc97692fa74a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01cf86ddf54b27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23" hidden="0" customWidth="1"/>
    <x:col min="5" max="5" width="22" hidden="0" customWidth="1"/>
    <x:col min="6" max="6" width="17" hidden="0" customWidth="1"/>
    <x:col min="7" max="7" width="21" hidden="0" customWidth="1"/>
  </x:cols>
  <x:sheetData>
    <x:row r="1">
      <x:c r="A1" s="68" t="str">
        <x:v>SIMULADOR DE INVESTIMENTOS EM FUNDOS IMOBILIÁRIOS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9"/>
      <x:c r="B3" s="69"/>
      <x:c r="C3" s="69"/>
      <x:c r="D3" s="69"/>
      <x:c r="E3" s="69"/>
      <x:c r="F3" s="69"/>
      <x:c r="G3" s="69"/>
      <x:c r="H3" s="69"/>
    </x:row>
    <x:row r="4">
      <x:c r="A4" s="70" t="str">
        <x:v>ENTRADAS</x:v>
      </x:c>
      <x:c r="B4" s="70" t="str"/>
      <x:c r="C4" s="69"/>
      <x:c r="D4" s="70" t="str">
        <x:v>RESULTADOS</x:v>
      </x:c>
      <x:c r="E4" s="70" t="str"/>
      <x:c r="F4" s="69"/>
      <x:c r="G4" s="69"/>
      <x:c r="H4" s="69"/>
    </x:row>
    <x:row r="5">
      <x:c r="A5" s="69" t="str">
        <x:v>Aporte mensal (R$)</x:v>
      </x:c>
      <x:c r="B5" s="71" t="n">
        <x:v>1000</x:v>
      </x:c>
      <x:c r="C5" s="69"/>
      <x:c r="D5" s="69" t="str">
        <x:v>Total investido</x:v>
      </x:c>
      <x:c r="E5" s="72" t="n">
        <x:f>B5*B6*12</x:f>
        <x:v>120000</x:v>
      </x:c>
      <x:c r="F5" s="69"/>
      <x:c r="G5" s="69"/>
      <x:c r="H5" s="69"/>
    </x:row>
    <x:row r="6">
      <x:c r="A6" s="69" t="str">
        <x:v>Prazo (anos)</x:v>
      </x:c>
      <x:c r="B6" s="73" t="n">
        <x:v>10</x:v>
      </x:c>
      <x:c r="C6" s="69"/>
      <x:c r="D6" s="69" t="str">
        <x:v>Patrimônio acumulado</x:v>
      </x:c>
      <x:c r="E6" s="72" t="n">
        <x:f>-FV(B7,B6*12,B5,0,0)</x:f>
        <x:v>200217.46940991812</x:v>
      </x:c>
      <x:c r="F6" s="69"/>
      <x:c r="G6" s="69"/>
      <x:c r="H6" s="69"/>
    </x:row>
    <x:row r="7">
      <x:c r="A7" s="69" t="str">
        <x:v>Taxa de rendimento mensal</x:v>
      </x:c>
      <x:c r="B7" s="74" t="n">
        <x:f>'Configurações'!B5</x:f>
        <x:v>0.008</x:v>
      </x:c>
      <x:c r="C7" s="69"/>
      <x:c r="D7" s="69" t="str">
        <x:v>Dividendos mensais</x:v>
      </x:c>
      <x:c r="E7" s="72" t="n">
        <x:f>E6*B7</x:f>
        <x:v>1601.739755279345</x:v>
      </x:c>
      <x:c r="F7" s="69"/>
      <x:c r="G7" s="69"/>
      <x:c r="H7" s="69"/>
    </x:row>
    <x:row r="8">
      <x:c r="A8" s="69" t="str">
        <x:v>Perfil do investidor</x:v>
      </x:c>
      <x:c r="B8" s="75" t="str">
        <x:v>Moderado</x:v>
      </x:c>
      <x:c r="C8" s="69"/>
      <x:c r="D8" s="69" t="str">
        <x:v>Ganho sobre aportes</x:v>
      </x:c>
      <x:c r="E8" s="72" t="n">
        <x:f>E6-E5</x:f>
        <x:v>80217.46940991812</x:v>
      </x:c>
      <x:c r="F8" s="69"/>
      <x:c r="G8" s="69"/>
      <x:c r="H8" s="69"/>
    </x:row>
    <x:row r="9">
      <x:c r="A9" s="69"/>
      <x:c r="B9" s="69"/>
      <x:c r="C9" s="69"/>
      <x:c r="D9" s="69"/>
      <x:c r="E9" s="69"/>
      <x:c r="F9" s="69"/>
      <x:c r="G9" s="69"/>
      <x:c r="H9" s="69"/>
    </x:row>
    <x:row r="10">
      <x:c r="A10" s="69"/>
      <x:c r="B10" s="69"/>
      <x:c r="C10" s="69"/>
      <x:c r="D10" s="69"/>
      <x:c r="E10" s="69"/>
      <x:c r="F10" s="69"/>
      <x:c r="G10" s="69"/>
      <x:c r="H10" s="69"/>
    </x:row>
    <x:row r="11">
      <x:c r="A11" s="70" t="str">
        <x:v>CENÁRIOS DE PATRIMÔNIO</x:v>
      </x:c>
      <x:c r="B11" s="70" t="str"/>
      <x:c r="C11" s="70" t="str"/>
      <x:c r="D11" s="69"/>
      <x:c r="E11" s="70" t="str">
        <x:v>DIVISÃO DO APORTE POR PERFIL</x:v>
      </x:c>
      <x:c r="F11" s="70" t="str"/>
      <x:c r="G11" s="70" t="str"/>
      <x:c r="H11" s="69"/>
    </x:row>
    <x:row r="12">
      <x:c r="A12" s="76" t="str">
        <x:v>Prazo (anos)</x:v>
      </x:c>
      <x:c r="B12" s="76" t="str">
        <x:v>Patrimônio (R$)</x:v>
      </x:c>
      <x:c r="C12" s="76" t="str">
        <x:v>Dividendos/mês (R$)</x:v>
      </x:c>
      <x:c r="D12" s="69"/>
      <x:c r="E12" s="76" t="str">
        <x:v>Tipo de fundo</x:v>
      </x:c>
      <x:c r="F12" s="76" t="str">
        <x:v>% do aporte</x:v>
      </x:c>
      <x:c r="G12" s="76" t="str">
        <x:v>Valor mensal (R$)</x:v>
      </x:c>
      <x:c r="H12" s="69"/>
    </x:row>
    <x:row r="13">
      <x:c r="A13" s="69" t="n">
        <x:v>2</x:v>
      </x:c>
      <x:c r="B13" s="72" t="n">
        <x:f>-FV($B$7,A13*12,$B$5,0,0)</x:f>
        <x:v>26343.155111119562</x:v>
      </x:c>
      <x:c r="C13" s="72" t="n">
        <x:f>B13*$B$7</x:f>
        <x:v>210.7452408889565</x:v>
      </x:c>
      <x:c r="D13" s="69"/>
      <x:c r="E13" s="69" t="str">
        <x:v>Papel</x:v>
      </x:c>
      <x:c r="F13" s="77" t="n">
        <x:f>VLOOKUP($B$8,'Perfis'!$A$4:$G$6,2,FALSE)</x:f>
        <x:v>0.25</x:v>
      </x:c>
      <x:c r="G13" s="72" t="n">
        <x:f>$B$5*F13</x:f>
        <x:v>250</x:v>
      </x:c>
      <x:c r="H13" s="69"/>
    </x:row>
    <x:row r="14">
      <x:c r="A14" s="69" t="n">
        <x:v>5</x:v>
      </x:c>
      <x:c r="B14" s="72" t="n">
        <x:f>-FV($B$7,A14*12,$B$5,0,0)</x:f>
        <x:v>76623.86683188022</x:v>
      </x:c>
      <x:c r="C14" s="72" t="n">
        <x:f>B14*$B$7</x:f>
        <x:v>612.9909346550418</x:v>
      </x:c>
      <x:c r="D14" s="69"/>
      <x:c r="E14" s="69" t="str">
        <x:v>Tijolo</x:v>
      </x:c>
      <x:c r="F14" s="77" t="n">
        <x:f>VLOOKUP($B$8,'Perfis'!$A$4:$G$6,3,FALSE)</x:f>
        <x:v>0.25</x:v>
      </x:c>
      <x:c r="G14" s="72" t="n">
        <x:f>$B$5*F14</x:f>
        <x:v>250</x:v>
      </x:c>
      <x:c r="H14" s="69"/>
    </x:row>
    <x:row r="15">
      <x:c r="A15" s="69" t="n">
        <x:v>10</x:v>
      </x:c>
      <x:c r="B15" s="72" t="n">
        <x:f>-FV($B$7,A15*12,$B$5,0,0)</x:f>
        <x:v>200217.46940991812</x:v>
      </x:c>
      <x:c r="C15" s="72" t="n">
        <x:f>B15*$B$7</x:f>
        <x:v>1601.739755279345</x:v>
      </x:c>
      <x:c r="D15" s="69"/>
      <x:c r="E15" s="69" t="str">
        <x:v>Híbrido</x:v>
      </x:c>
      <x:c r="F15" s="77" t="n">
        <x:f>VLOOKUP($B$8,'Perfis'!$A$4:$G$6,4,FALSE)</x:f>
        <x:v>0.2</x:v>
      </x:c>
      <x:c r="G15" s="72" t="n">
        <x:f>$B$5*F15</x:f>
        <x:v>200</x:v>
      </x:c>
      <x:c r="H15" s="69"/>
    </x:row>
    <x:row r="16">
      <x:c r="A16" s="69" t="n">
        <x:v>20</x:v>
      </x:c>
      <x:c r="B16" s="72" t="n">
        <x:f>-FV($B$7,A16*12,$B$5,0,0)</x:f>
        <x:v>721131.2192751283</x:v>
      </x:c>
      <x:c r="C16" s="72" t="n">
        <x:f>B16*$B$7</x:f>
        <x:v>5769.049754201027</x:v>
      </x:c>
      <x:c r="D16" s="69"/>
      <x:c r="E16" s="69" t="str">
        <x:v>FOF</x:v>
      </x:c>
      <x:c r="F16" s="77" t="n">
        <x:f>VLOOKUP($B$8,'Perfis'!$A$4:$G$6,5,FALSE)</x:f>
        <x:v>0.1</x:v>
      </x:c>
      <x:c r="G16" s="72" t="n">
        <x:f>$B$5*F16</x:f>
        <x:v>100</x:v>
      </x:c>
      <x:c r="H16" s="69"/>
    </x:row>
    <x:row r="17">
      <x:c r="A17" s="69" t="n">
        <x:v>30</x:v>
      </x:c>
      <x:c r="B17" s="72" t="n">
        <x:f>-FV($B$7,A17*12,$B$5,0,0)</x:f>
        <x:v>2076413.2313710856</x:v>
      </x:c>
      <x:c r="C17" s="72" t="n">
        <x:f>B17*$B$7</x:f>
        <x:v>16611.305850968685</x:v>
      </x:c>
      <x:c r="D17" s="69"/>
      <x:c r="E17" s="69" t="str">
        <x:v>Desenvolvimento</x:v>
      </x:c>
      <x:c r="F17" s="77" t="n">
        <x:f>VLOOKUP($B$8,'Perfis'!$A$4:$G$6,6,FALSE)</x:f>
        <x:v>0.1</x:v>
      </x:c>
      <x:c r="G17" s="72" t="n">
        <x:f>$B$5*F17</x:f>
        <x:v>100</x:v>
      </x:c>
      <x:c r="H17" s="69"/>
    </x:row>
    <x:row r="18">
      <x:c r="A18" s="69"/>
      <x:c r="B18" s="69"/>
      <x:c r="C18" s="69"/>
      <x:c r="D18" s="69"/>
      <x:c r="E18" s="69" t="str">
        <x:v>Agro</x:v>
      </x:c>
      <x:c r="F18" s="77" t="n">
        <x:f>VLOOKUP($B$8,'Perfis'!$A$4:$G$6,7,FALSE)</x:f>
        <x:v>0.1</x:v>
      </x:c>
      <x:c r="G18" s="72" t="n">
        <x:f>$B$5*F18</x:f>
        <x:v>100</x:v>
      </x:c>
      <x:c r="H18" s="69"/>
    </x:row>
    <x:row r="19">
      <x:c r="A19" s="69"/>
      <x:c r="B19" s="69"/>
      <x:c r="C19" s="69"/>
      <x:c r="D19" s="69"/>
      <x:c r="E19" s="69"/>
      <x:c r="F19" s="69"/>
      <x:c r="G19" s="69"/>
      <x:c r="H19" s="69"/>
    </x:row>
    <x:row r="20">
      <x:c r="A20" s="70" t="str">
        <x:v>APORTE SUGERIDO</x:v>
      </x:c>
      <x:c r="B20" s="70" t="str"/>
      <x:c r="C20" s="69"/>
      <x:c r="D20" s="69"/>
      <x:c r="E20" s="69"/>
      <x:c r="F20" s="69"/>
      <x:c r="G20" s="69"/>
      <x:c r="H20" s="69"/>
    </x:row>
    <x:row r="21">
      <x:c r="A21" s="69" t="str">
        <x:v>Salário mensal</x:v>
      </x:c>
      <x:c r="B21" s="72" t="n">
        <x:f>'Configurações'!B4</x:f>
        <x:v>5000</x:v>
      </x:c>
      <x:c r="C21" s="69"/>
      <x:c r="D21" s="69"/>
      <x:c r="E21" s="69"/>
      <x:c r="F21" s="69"/>
      <x:c r="G21" s="69"/>
      <x:c r="H21" s="69"/>
    </x:row>
    <x:row r="22">
      <x:c r="A22" s="69" t="str">
        <x:v>30% do salário</x:v>
      </x:c>
      <x:c r="B22" s="72" t="n">
        <x:f>'Configurações'!B6</x:f>
        <x:v>1500</x:v>
      </x:c>
      <x:c r="C22" s="69"/>
      <x:c r="D22" s="69"/>
      <x:c r="E22" s="69"/>
      <x:c r="F22" s="69"/>
      <x:c r="G22" s="69"/>
      <x:c r="H22" s="69"/>
    </x:row>
    <x:row r="23">
      <x:c r="A23" s="69"/>
      <x:c r="B23" s="69"/>
      <x:c r="C23" s="69"/>
      <x:c r="D23" s="69"/>
      <x:c r="E23" s="69"/>
      <x:c r="F23" s="69"/>
      <x:c r="G23" s="69"/>
      <x:c r="H23" s="69"/>
    </x:row>
    <x:row r="24">
      <x:c r="A24" s="69"/>
      <x:c r="B24" s="69"/>
      <x:c r="C24" s="69"/>
      <x:c r="D24" s="69"/>
      <x:c r="E24" s="69"/>
      <x:c r="F24" s="69"/>
      <x:c r="G24" s="69"/>
      <x:c r="H24" s="69"/>
    </x:row>
    <x:row r="25">
      <x:c r="A25" s="69"/>
      <x:c r="B25" s="69"/>
      <x:c r="C25" s="69"/>
      <x:c r="D25" s="69"/>
      <x:c r="E25" s="69"/>
      <x:c r="F25" s="69"/>
      <x:c r="G25" s="69"/>
      <x:c r="H25" s="69"/>
    </x:row>
    <x:row r="26">
      <x:c r="A26" s="69"/>
      <x:c r="B26" s="69"/>
      <x:c r="C26" s="69"/>
      <x:c r="D26" s="69"/>
      <x:c r="E26" s="69"/>
      <x:c r="F26" s="69"/>
      <x:c r="G26" s="69"/>
      <x:c r="H26" s="69"/>
    </x:row>
    <x:row r="27">
      <x:c r="A27" s="69"/>
      <x:c r="B27" s="69"/>
      <x:c r="C27" s="69"/>
      <x:c r="D27" s="69"/>
      <x:c r="E27" s="69"/>
      <x:c r="F27" s="69"/>
      <x:c r="G27" s="69"/>
      <x:c r="H27" s="69"/>
    </x:row>
    <x:row r="28">
      <x:c r="A28" s="69"/>
      <x:c r="B28" s="69"/>
      <x:c r="C28" s="69"/>
      <x:c r="D28" s="69"/>
      <x:c r="E28" s="69"/>
      <x:c r="F28" s="69"/>
      <x:c r="G28" s="69"/>
      <x:c r="H28" s="69"/>
    </x:row>
    <x:row r="29">
      <x:c r="A29" s="69"/>
      <x:c r="B29" s="69"/>
      <x:c r="C29" s="69"/>
      <x:c r="D29" s="69"/>
      <x:c r="E29" s="69"/>
      <x:c r="F29" s="69"/>
      <x:c r="G29" s="69"/>
      <x:c r="H29" s="69"/>
    </x:row>
    <x:row r="30">
      <x:c r="A30" s="69"/>
      <x:c r="B30" s="69"/>
      <x:c r="C30" s="69"/>
      <x:c r="D30" s="69"/>
      <x:c r="E30" s="69"/>
      <x:c r="F30" s="69"/>
      <x:c r="G30" s="69"/>
      <x:c r="H30" s="69"/>
    </x:row>
  </x:sheetData>
  <x:mergeCells>
    <x:mergeCell ref="A1:H2"/>
  </x:mergeCells>
  <x:dataValidations count="1">
    <x:dataValidation type="list" sqref="B8">
      <x:formula1>"Conservador,Moderado,Arrojado"</x:formula1>
    </x:dataValidation>
  </x:dataValidations>
  <x:pageMargins left="0.7" right="0.7" top="0.75" bottom="0.75" header="0.3" footer="0.3"/>
  <x:drawing xmlns:r="http://schemas.openxmlformats.org/officeDocument/2006/relationships" r:id="Rf101cf86ddf54b27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</x:cols>
  <x:sheetData>
    <x:row r="1">
      <x:c r="A1" s="68" t="str">
        <x:v>CONFIGURAÇÕES GLOBAIS</x:v>
      </x:c>
      <x:c r="B1" s="68"/>
      <x:c r="C1" s="68"/>
      <x:c r="D1" s="68"/>
      <x:c r="E1" s="69"/>
      <x:c r="F1" s="69"/>
      <x:c r="G1" s="69"/>
      <x:c r="H1" s="69"/>
    </x:row>
    <x:row r="2">
      <x:c r="A2" s="69"/>
      <x:c r="B2" s="69"/>
      <x:c r="C2" s="69"/>
      <x:c r="D2" s="69"/>
      <x:c r="E2" s="69"/>
      <x:c r="F2" s="69"/>
      <x:c r="G2" s="69"/>
      <x:c r="H2" s="69"/>
    </x:row>
    <x:row r="3">
      <x:c r="A3" s="88" t="str">
        <x:v>Variável</x:v>
      </x:c>
      <x:c r="B3" s="88" t="str">
        <x:v>Valor</x:v>
      </x:c>
      <x:c r="C3" s="69"/>
      <x:c r="D3" s="69"/>
      <x:c r="E3" s="69"/>
      <x:c r="F3" s="69"/>
      <x:c r="G3" s="69"/>
      <x:c r="H3" s="69"/>
    </x:row>
    <x:row r="4">
      <x:c r="A4" s="69" t="str">
        <x:v>Salário mensal (R$)</x:v>
      </x:c>
      <x:c r="B4" s="71" t="n">
        <x:v>5000</x:v>
      </x:c>
      <x:c r="C4" s="69"/>
      <x:c r="D4" s="69"/>
      <x:c r="E4" s="69"/>
      <x:c r="F4" s="69"/>
      <x:c r="G4" s="69"/>
      <x:c r="H4" s="69"/>
    </x:row>
    <x:row r="5">
      <x:c r="A5" s="69" t="str">
        <x:v>Rendimento mensal</x:v>
      </x:c>
      <x:c r="B5" s="74" t="n">
        <x:v>0.008</x:v>
      </x:c>
      <x:c r="C5" s="69"/>
      <x:c r="D5" s="69"/>
      <x:c r="E5" s="69"/>
      <x:c r="F5" s="69"/>
      <x:c r="G5" s="69"/>
      <x:c r="H5" s="69"/>
    </x:row>
    <x:row r="6">
      <x:c r="A6" s="69" t="str">
        <x:v>Aporte sugerido (30%)</x:v>
      </x:c>
      <x:c r="B6" s="72" t="n">
        <x:f>B4*30%</x:f>
        <x:v>1500</x:v>
      </x:c>
      <x:c r="C6" s="69"/>
      <x:c r="D6" s="69"/>
      <x:c r="E6" s="69"/>
      <x:c r="F6" s="69"/>
      <x:c r="G6" s="69"/>
      <x:c r="H6" s="69"/>
    </x:row>
    <x:row r="7">
      <x:c r="A7" s="69"/>
      <x:c r="B7" s="69"/>
      <x:c r="C7" s="69"/>
      <x:c r="D7" s="69"/>
      <x:c r="E7" s="69"/>
      <x:c r="F7" s="69"/>
      <x:c r="G7" s="69"/>
      <x:c r="H7" s="69"/>
    </x:row>
    <x:row r="8">
      <x:c r="A8" s="88" t="str">
        <x:v>Intervalos nomeados</x:v>
      </x:c>
      <x:c r="B8" s="88" t="str">
        <x:v>Referência</x:v>
      </x:c>
      <x:c r="C8" s="69"/>
      <x:c r="D8" s="69"/>
      <x:c r="E8" s="69"/>
      <x:c r="F8" s="69"/>
      <x:c r="G8" s="69"/>
      <x:c r="H8" s="69"/>
    </x:row>
    <x:row r="9">
      <x:c r="A9" s="69" t="str">
        <x:v>salario</x:v>
      </x:c>
      <x:c r="B9" s="69" t="str">
        <x:v>B4</x:v>
      </x:c>
      <x:c r="C9" s="69"/>
      <x:c r="D9" s="69"/>
      <x:c r="E9" s="69"/>
      <x:c r="F9" s="69"/>
      <x:c r="G9" s="69"/>
      <x:c r="H9" s="69"/>
    </x:row>
    <x:row r="10">
      <x:c r="A10" s="69" t="str">
        <x:v>taxa_mensal</x:v>
      </x:c>
      <x:c r="B10" s="69" t="str">
        <x:v>B5</x:v>
      </x:c>
      <x:c r="C10" s="69"/>
      <x:c r="D10" s="69"/>
      <x:c r="E10" s="69"/>
      <x:c r="F10" s="69"/>
      <x:c r="G10" s="69"/>
      <x:c r="H10" s="69"/>
    </x:row>
    <x:row r="11">
      <x:c r="A11" s="69"/>
      <x:c r="B11" s="69"/>
      <x:c r="C11" s="69"/>
      <x:c r="D11" s="69"/>
      <x:c r="E11" s="69"/>
      <x:c r="F11" s="69"/>
      <x:c r="G11" s="69"/>
      <x:c r="H11" s="69"/>
    </x:row>
    <x:row r="12">
      <x:c r="A12" s="69"/>
      <x:c r="B12" s="69"/>
      <x:c r="C12" s="69"/>
      <x:c r="D12" s="69"/>
      <x:c r="E12" s="69"/>
      <x:c r="F12" s="69"/>
      <x:c r="G12" s="69"/>
      <x:c r="H12" s="69"/>
    </x:row>
    <x:row r="13">
      <x:c r="A13" s="69"/>
      <x:c r="B13" s="69"/>
      <x:c r="C13" s="69"/>
      <x:c r="D13" s="69"/>
      <x:c r="E13" s="69"/>
      <x:c r="F13" s="69"/>
      <x:c r="G13" s="69"/>
      <x:c r="H13" s="69"/>
    </x:row>
    <x:row r="14">
      <x:c r="A14" s="69"/>
      <x:c r="B14" s="69"/>
      <x:c r="C14" s="69"/>
      <x:c r="D14" s="69"/>
      <x:c r="E14" s="69"/>
      <x:c r="F14" s="69"/>
      <x:c r="G14" s="69"/>
      <x:c r="H14" s="69"/>
    </x:row>
    <x:row r="15">
      <x:c r="A15" s="69"/>
      <x:c r="B15" s="69"/>
      <x:c r="C15" s="69"/>
      <x:c r="D15" s="69"/>
      <x:c r="E15" s="69"/>
      <x:c r="F15" s="69"/>
      <x:c r="G15" s="69"/>
      <x:c r="H15" s="69"/>
    </x:row>
    <x:row r="16">
      <x:c r="A16" s="69"/>
      <x:c r="B16" s="69"/>
      <x:c r="C16" s="69"/>
      <x:c r="D16" s="69"/>
      <x:c r="E16" s="69"/>
      <x:c r="F16" s="69"/>
      <x:c r="G16" s="69"/>
      <x:c r="H16" s="69"/>
    </x:row>
    <x:row r="17">
      <x:c r="A17" s="69"/>
      <x:c r="B17" s="69"/>
      <x:c r="C17" s="69"/>
      <x:c r="D17" s="69"/>
      <x:c r="E17" s="69"/>
      <x:c r="F17" s="69"/>
      <x:c r="G17" s="69"/>
      <x:c r="H17" s="69"/>
    </x:row>
    <x:row r="18">
      <x:c r="A18" s="69"/>
      <x:c r="B18" s="69"/>
      <x:c r="C18" s="69"/>
      <x:c r="D18" s="69"/>
      <x:c r="E18" s="69"/>
      <x:c r="F18" s="69"/>
      <x:c r="G18" s="69"/>
      <x:c r="H18" s="69"/>
    </x:row>
    <x:row r="19">
      <x:c r="A19" s="69"/>
      <x:c r="B19" s="69"/>
      <x:c r="C19" s="69"/>
      <x:c r="D19" s="69"/>
      <x:c r="E19" s="69"/>
      <x:c r="F19" s="69"/>
      <x:c r="G19" s="69"/>
      <x:c r="H19" s="69"/>
    </x:row>
    <x:row r="20">
      <x:c r="A20" s="69"/>
      <x:c r="B20" s="69"/>
      <x:c r="C20" s="69"/>
      <x:c r="D20" s="69"/>
      <x:c r="E20" s="69"/>
      <x:c r="F20" s="69"/>
      <x:c r="G20" s="69"/>
      <x:c r="H20" s="69"/>
    </x:row>
    <x:row r="21">
      <x:c r="A21" s="69"/>
      <x:c r="B21" s="69"/>
      <x:c r="C21" s="69"/>
      <x:c r="D21" s="69"/>
      <x:c r="E21" s="69"/>
      <x:c r="F21" s="69"/>
      <x:c r="G21" s="69"/>
      <x:c r="H21" s="69"/>
    </x:row>
    <x:row r="22">
      <x:c r="A22" s="69"/>
      <x:c r="B22" s="69"/>
      <x:c r="C22" s="69"/>
      <x:c r="D22" s="69"/>
      <x:c r="E22" s="69"/>
      <x:c r="F22" s="69"/>
      <x:c r="G22" s="69"/>
      <x:c r="H22" s="69"/>
    </x:row>
    <x:row r="23">
      <x:c r="A23" s="69"/>
      <x:c r="B23" s="69"/>
      <x:c r="C23" s="69"/>
      <x:c r="D23" s="69"/>
      <x:c r="E23" s="69"/>
      <x:c r="F23" s="69"/>
      <x:c r="G23" s="69"/>
      <x:c r="H23" s="69"/>
    </x:row>
    <x:row r="24">
      <x:c r="A24" s="69"/>
      <x:c r="B24" s="69"/>
      <x:c r="C24" s="69"/>
      <x:c r="D24" s="69"/>
      <x:c r="E24" s="69"/>
      <x:c r="F24" s="69"/>
      <x:c r="G24" s="69"/>
      <x:c r="H24" s="69"/>
    </x:row>
    <x:row r="25">
      <x:c r="A25" s="69"/>
      <x:c r="B25" s="69"/>
      <x:c r="C25" s="69"/>
      <x:c r="D25" s="69"/>
      <x:c r="E25" s="69"/>
      <x:c r="F25" s="69"/>
      <x:c r="G25" s="69"/>
      <x:c r="H25" s="69"/>
    </x:row>
    <x:row r="26">
      <x:c r="A26" s="69"/>
      <x:c r="B26" s="69"/>
      <x:c r="C26" s="69"/>
      <x:c r="D26" s="69"/>
      <x:c r="E26" s="69"/>
      <x:c r="F26" s="69"/>
      <x:c r="G26" s="69"/>
      <x:c r="H26" s="69"/>
    </x:row>
    <x:row r="27">
      <x:c r="A27" s="69"/>
      <x:c r="B27" s="69"/>
      <x:c r="C27" s="69"/>
      <x:c r="D27" s="69"/>
      <x:c r="E27" s="69"/>
      <x:c r="F27" s="69"/>
      <x:c r="G27" s="69"/>
      <x:c r="H27" s="69"/>
    </x:row>
    <x:row r="28">
      <x:c r="A28" s="69"/>
      <x:c r="B28" s="69"/>
      <x:c r="C28" s="69"/>
      <x:c r="D28" s="69"/>
      <x:c r="E28" s="69"/>
      <x:c r="F28" s="69"/>
      <x:c r="G28" s="69"/>
      <x:c r="H28" s="69"/>
    </x:row>
    <x:row r="29">
      <x:c r="A29" s="69"/>
      <x:c r="B29" s="69"/>
      <x:c r="C29" s="69"/>
      <x:c r="D29" s="69"/>
      <x:c r="E29" s="69"/>
      <x:c r="F29" s="69"/>
      <x:c r="G29" s="69"/>
      <x:c r="H29" s="69"/>
    </x:row>
    <x:row r="30">
      <x:c r="A30" s="69"/>
      <x:c r="B30" s="69"/>
      <x:c r="C30" s="69"/>
      <x:c r="D30" s="69"/>
      <x:c r="E30" s="69"/>
      <x:c r="F30" s="69"/>
      <x:c r="G30" s="69"/>
      <x:c r="H30" s="69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8" t="str">
        <x:v>DIVISÃO DO APORTE POR PERFIL</x:v>
      </x:c>
      <x:c r="B1" s="68"/>
      <x:c r="C1" s="68"/>
      <x:c r="D1" s="68"/>
      <x:c r="E1" s="68"/>
      <x:c r="F1" s="68"/>
      <x:c r="G1" s="68"/>
      <x:c r="H1" s="68"/>
    </x:row>
    <x:row r="2">
      <x:c r="A2" s="69"/>
      <x:c r="B2" s="69"/>
      <x:c r="C2" s="69"/>
      <x:c r="D2" s="69"/>
      <x:c r="E2" s="69"/>
      <x:c r="F2" s="69"/>
      <x:c r="G2" s="69"/>
      <x:c r="H2" s="69"/>
    </x:row>
    <x:row r="3">
      <x:c r="A3" s="76" t="str">
        <x:v>Perfil</x:v>
      </x:c>
      <x:c r="B3" s="76" t="str">
        <x:v>Papel</x:v>
      </x:c>
      <x:c r="C3" s="76" t="str">
        <x:v>Tijolo</x:v>
      </x:c>
      <x:c r="D3" s="76" t="str">
        <x:v>Híbrido</x:v>
      </x:c>
      <x:c r="E3" s="76" t="str">
        <x:v>FOF</x:v>
      </x:c>
      <x:c r="F3" s="76" t="str">
        <x:v>Desenvolvimento</x:v>
      </x:c>
      <x:c r="G3" s="76" t="str">
        <x:v>Agro</x:v>
      </x:c>
      <x:c r="H3" s="76" t="str">
        <x:v>Total</x:v>
      </x:c>
    </x:row>
    <x:row r="4">
      <x:c r="A4" s="69" t="str">
        <x:v>Conservador</x:v>
      </x:c>
      <x:c r="B4" s="77" t="n">
        <x:v>0.35</x:v>
      </x:c>
      <x:c r="C4" s="77" t="n">
        <x:v>0.2</x:v>
      </x:c>
      <x:c r="D4" s="77" t="n">
        <x:v>0.2</x:v>
      </x:c>
      <x:c r="E4" s="77" t="n">
        <x:v>0.15</x:v>
      </x:c>
      <x:c r="F4" s="77" t="n">
        <x:v>0</x:v>
      </x:c>
      <x:c r="G4" s="77" t="n">
        <x:v>0.1</x:v>
      </x:c>
      <x:c r="H4" s="77" t="n">
        <x:f>SUM(B4:G4)</x:f>
        <x:v>1</x:v>
      </x:c>
    </x:row>
    <x:row r="5">
      <x:c r="A5" s="69" t="str">
        <x:v>Moderado</x:v>
      </x:c>
      <x:c r="B5" s="77" t="n">
        <x:v>0.25</x:v>
      </x:c>
      <x:c r="C5" s="77" t="n">
        <x:v>0.25</x:v>
      </x:c>
      <x:c r="D5" s="77" t="n">
        <x:v>0.2</x:v>
      </x:c>
      <x:c r="E5" s="77" t="n">
        <x:v>0.1</x:v>
      </x:c>
      <x:c r="F5" s="77" t="n">
        <x:v>0.1</x:v>
      </x:c>
      <x:c r="G5" s="77" t="n">
        <x:v>0.1</x:v>
      </x:c>
      <x:c r="H5" s="77" t="n">
        <x:f>SUM(B5:G5)</x:f>
        <x:v>0.9999999999999999</x:v>
      </x:c>
    </x:row>
    <x:row r="6">
      <x:c r="A6" s="69" t="str">
        <x:v>Arrojado</x:v>
      </x:c>
      <x:c r="B6" s="77" t="n">
        <x:v>0.15</x:v>
      </x:c>
      <x:c r="C6" s="77" t="n">
        <x:v>0.25</x:v>
      </x:c>
      <x:c r="D6" s="77" t="n">
        <x:v>0.15</x:v>
      </x:c>
      <x:c r="E6" s="77" t="n">
        <x:v>0.05</x:v>
      </x:c>
      <x:c r="F6" s="77" t="n">
        <x:v>0.25</x:v>
      </x:c>
      <x:c r="G6" s="77" t="n">
        <x:v>0.15</x:v>
      </x:c>
      <x:c r="H6" s="77" t="n">
        <x:f>SUM(B6:G6)</x:f>
        <x:v>1</x:v>
      </x:c>
    </x:row>
    <x:row r="7">
      <x:c r="A7" s="69"/>
      <x:c r="B7" s="69"/>
      <x:c r="C7" s="69"/>
      <x:c r="D7" s="69"/>
      <x:c r="E7" s="69"/>
      <x:c r="F7" s="69"/>
      <x:c r="G7" s="69"/>
      <x:c r="H7" s="69"/>
    </x:row>
    <x:row r="8">
      <x:c r="A8" s="69"/>
      <x:c r="B8" s="69"/>
      <x:c r="C8" s="69"/>
      <x:c r="D8" s="69"/>
      <x:c r="E8" s="69"/>
      <x:c r="F8" s="69"/>
      <x:c r="G8" s="69"/>
      <x:c r="H8" s="69"/>
    </x:row>
    <x:row r="9">
      <x:c r="A9" s="69"/>
      <x:c r="B9" s="69"/>
      <x:c r="C9" s="69"/>
      <x:c r="D9" s="69"/>
      <x:c r="E9" s="69"/>
      <x:c r="F9" s="69"/>
      <x:c r="G9" s="69"/>
      <x:c r="H9" s="69"/>
    </x:row>
    <x:row r="10">
      <x:c r="A10" s="69"/>
      <x:c r="B10" s="69"/>
      <x:c r="C10" s="69"/>
      <x:c r="D10" s="69"/>
      <x:c r="E10" s="69"/>
      <x:c r="F10" s="69"/>
      <x:c r="G10" s="69"/>
      <x:c r="H10" s="69"/>
    </x:row>
    <x:row r="11">
      <x:c r="A11" s="69"/>
      <x:c r="B11" s="69"/>
      <x:c r="C11" s="69"/>
      <x:c r="D11" s="69"/>
      <x:c r="E11" s="69"/>
      <x:c r="F11" s="69"/>
      <x:c r="G11" s="69"/>
      <x:c r="H11" s="69"/>
    </x:row>
    <x:row r="12">
      <x:c r="A12" s="69"/>
      <x:c r="B12" s="69"/>
      <x:c r="C12" s="69"/>
      <x:c r="D12" s="69"/>
      <x:c r="E12" s="69"/>
      <x:c r="F12" s="69"/>
      <x:c r="G12" s="69"/>
      <x:c r="H12" s="69"/>
    </x:row>
    <x:row r="13">
      <x:c r="A13" s="69"/>
      <x:c r="B13" s="69"/>
      <x:c r="C13" s="69"/>
      <x:c r="D13" s="69"/>
      <x:c r="E13" s="69"/>
      <x:c r="F13" s="69"/>
      <x:c r="G13" s="69"/>
      <x:c r="H13" s="69"/>
    </x:row>
    <x:row r="14">
      <x:c r="A14" s="69"/>
      <x:c r="B14" s="69"/>
      <x:c r="C14" s="69"/>
      <x:c r="D14" s="69"/>
      <x:c r="E14" s="69"/>
      <x:c r="F14" s="69"/>
      <x:c r="G14" s="69"/>
      <x:c r="H14" s="69"/>
    </x:row>
    <x:row r="15">
      <x:c r="A15" s="69"/>
      <x:c r="B15" s="69"/>
      <x:c r="C15" s="69"/>
      <x:c r="D15" s="69"/>
      <x:c r="E15" s="69"/>
      <x:c r="F15" s="69"/>
      <x:c r="G15" s="69"/>
      <x:c r="H15" s="69"/>
    </x:row>
    <x:row r="16">
      <x:c r="A16" s="69"/>
      <x:c r="B16" s="69"/>
      <x:c r="C16" s="69"/>
      <x:c r="D16" s="69"/>
      <x:c r="E16" s="69"/>
      <x:c r="F16" s="69"/>
      <x:c r="G16" s="69"/>
      <x:c r="H16" s="69"/>
    </x:row>
    <x:row r="17">
      <x:c r="A17" s="69"/>
      <x:c r="B17" s="69"/>
      <x:c r="C17" s="69"/>
      <x:c r="D17" s="69"/>
      <x:c r="E17" s="69"/>
      <x:c r="F17" s="69"/>
      <x:c r="G17" s="69"/>
      <x:c r="H17" s="69"/>
    </x:row>
    <x:row r="18">
      <x:c r="A18" s="69"/>
      <x:c r="B18" s="69"/>
      <x:c r="C18" s="69"/>
      <x:c r="D18" s="69"/>
      <x:c r="E18" s="69"/>
      <x:c r="F18" s="69"/>
      <x:c r="G18" s="69"/>
      <x:c r="H18" s="69"/>
    </x:row>
    <x:row r="19">
      <x:c r="A19" s="69"/>
      <x:c r="B19" s="69"/>
      <x:c r="C19" s="69"/>
      <x:c r="D19" s="69"/>
      <x:c r="E19" s="69"/>
      <x:c r="F19" s="69"/>
      <x:c r="G19" s="69"/>
      <x:c r="H19" s="69"/>
    </x:row>
    <x:row r="20">
      <x:c r="A20" s="69"/>
      <x:c r="B20" s="69"/>
      <x:c r="C20" s="69"/>
      <x:c r="D20" s="69"/>
      <x:c r="E20" s="69"/>
      <x:c r="F20" s="69"/>
      <x:c r="G20" s="69"/>
      <x:c r="H20" s="69"/>
    </x:row>
    <x:row r="21">
      <x:c r="A21" s="69"/>
      <x:c r="B21" s="69"/>
      <x:c r="C21" s="69"/>
      <x:c r="D21" s="69"/>
      <x:c r="E21" s="69"/>
      <x:c r="F21" s="69"/>
      <x:c r="G21" s="69"/>
      <x:c r="H21" s="69"/>
    </x:row>
    <x:row r="22">
      <x:c r="A22" s="69"/>
      <x:c r="B22" s="69"/>
      <x:c r="C22" s="69"/>
      <x:c r="D22" s="69"/>
      <x:c r="E22" s="69"/>
      <x:c r="F22" s="69"/>
      <x:c r="G22" s="69"/>
      <x:c r="H22" s="69"/>
    </x:row>
    <x:row r="23">
      <x:c r="A23" s="69"/>
      <x:c r="B23" s="69"/>
      <x:c r="C23" s="69"/>
      <x:c r="D23" s="69"/>
      <x:c r="E23" s="69"/>
      <x:c r="F23" s="69"/>
      <x:c r="G23" s="69"/>
      <x:c r="H23" s="69"/>
    </x:row>
    <x:row r="24">
      <x:c r="A24" s="69"/>
      <x:c r="B24" s="69"/>
      <x:c r="C24" s="69"/>
      <x:c r="D24" s="69"/>
      <x:c r="E24" s="69"/>
      <x:c r="F24" s="69"/>
      <x:c r="G24" s="69"/>
      <x:c r="H24" s="69"/>
    </x:row>
    <x:row r="25">
      <x:c r="A25" s="69"/>
      <x:c r="B25" s="69"/>
      <x:c r="C25" s="69"/>
      <x:c r="D25" s="69"/>
      <x:c r="E25" s="69"/>
      <x:c r="F25" s="69"/>
      <x:c r="G25" s="69"/>
      <x:c r="H25" s="69"/>
    </x:row>
    <x:row r="26">
      <x:c r="A26" s="69"/>
      <x:c r="B26" s="69"/>
      <x:c r="C26" s="69"/>
      <x:c r="D26" s="69"/>
      <x:c r="E26" s="69"/>
      <x:c r="F26" s="69"/>
      <x:c r="G26" s="69"/>
      <x:c r="H26" s="69"/>
    </x:row>
    <x:row r="27">
      <x:c r="A27" s="69"/>
      <x:c r="B27" s="69"/>
      <x:c r="C27" s="69"/>
      <x:c r="D27" s="69"/>
      <x:c r="E27" s="69"/>
      <x:c r="F27" s="69"/>
      <x:c r="G27" s="69"/>
      <x:c r="H27" s="69"/>
    </x:row>
    <x:row r="28">
      <x:c r="A28" s="69"/>
      <x:c r="B28" s="69"/>
      <x:c r="C28" s="69"/>
      <x:c r="D28" s="69"/>
      <x:c r="E28" s="69"/>
      <x:c r="F28" s="69"/>
      <x:c r="G28" s="69"/>
      <x:c r="H28" s="69"/>
    </x:row>
    <x:row r="29">
      <x:c r="A29" s="69"/>
      <x:c r="B29" s="69"/>
      <x:c r="C29" s="69"/>
      <x:c r="D29" s="69"/>
      <x:c r="E29" s="69"/>
      <x:c r="F29" s="69"/>
      <x:c r="G29" s="69"/>
      <x:c r="H29" s="69"/>
    </x:row>
    <x:row r="30">
      <x:c r="A30" s="69"/>
      <x:c r="B30" s="69"/>
      <x:c r="C30" s="69"/>
      <x:c r="D30" s="69"/>
      <x:c r="E30" s="69"/>
      <x:c r="F30" s="69"/>
      <x:c r="G30" s="69"/>
      <x:c r="H30" s="69"/>
    </x:row>
  </x:sheetData>
  <x:mergeCells>
    <x:mergeCell ref="A1:H1"/>
  </x:mergeCells>
  <x:conditionalFormatting sqref="H4:H6">
    <x:cfRule type="expression" dxfId="0" priority="1">
      <x:formula>H4&lt;&gt;100%</x:formula>
    </x:cfRule>
  </x:conditionalFormatting>
  <x:pageMargins left="0.7" right="0.7" top="0.75" bottom="0.75" header="0.3" footer="0.3"/>
</x:worksheet>
</file>